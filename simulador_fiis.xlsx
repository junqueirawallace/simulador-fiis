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" sheetId="1" state="visible" r:id="rId1"/>
    <sheet xmlns:r="http://schemas.openxmlformats.org/officeDocument/2006/relationships" name="Configuracoes" sheetId="2" state="visible" r:id="rId2"/>
    <sheet xmlns:r="http://schemas.openxmlformats.org/officeDocument/2006/relationships" name="Distribuicao" sheetId="3" state="visible" r:id="rId3"/>
  </sheets>
  <definedNames>
    <definedName name="salario">'Configuracoes'!$B$3</definedName>
    <definedName name="taxa_mensal">'Configuracoes'!$B$4</definedName>
    <definedName name="percentual_sugerido">'Configuracoes'!$B$5</definedName>
    <definedName name="prazo_anos">'Configuracoes'!$B$6</definedName>
    <definedName name="aporte">'Configuracoes'!$B$7</definedName>
    <definedName name="aporte_sugerido">'Configuracoes'!$B$3*'Configuracoes'!$B$5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  <font>
      <b val="1"/>
      <color rgb="00FFFFFF"/>
      <sz val="16"/>
    </font>
    <font>
      <i val="1"/>
      <color rgb="00666666"/>
      <sz val="10"/>
    </font>
    <font>
      <b val="1"/>
      <color rgb="00006100"/>
    </font>
    <font>
      <b val="1"/>
      <color rgb="0017365D"/>
      <sz val="12"/>
    </font>
    <font>
      <i val="1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applyAlignment="1" pivotButton="0" quotePrefix="0" xfId="0">
      <alignment vertical="center" wrapText="1"/>
    </xf>
    <xf numFmtId="164" fontId="0" fillId="5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6" fillId="7" borderId="0" applyAlignment="1" pivotButton="0" quotePrefix="0" xfId="0">
      <alignment vertical="center" wrapText="1"/>
    </xf>
    <xf numFmtId="1" fontId="0" fillId="5" borderId="1" applyAlignment="1" pivotButton="0" quotePrefix="0" xfId="0">
      <alignment vertical="center" wrapText="1"/>
    </xf>
    <xf numFmtId="1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164" fontId="0" fillId="5" borderId="0" applyAlignment="1" pivotButton="0" quotePrefix="0" xfId="0">
      <alignment vertical="center" wrapText="1"/>
    </xf>
    <xf numFmtId="9" fontId="0" fillId="5" borderId="0" applyAlignment="1" pivotButton="0" quotePrefix="0" xfId="0">
      <alignment vertical="center" wrapText="1"/>
    </xf>
    <xf numFmtId="0" fontId="8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1" pivotButton="0" quotePrefix="0" xfId="0"/>
    <xf numFmtId="9" fontId="0" fillId="0" borderId="1" pivotButton="0" quotePrefix="0" xfId="0"/>
    <xf numFmtId="0" fontId="3" fillId="4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Distribuição do aporte</a:t>
            </a:r>
          </a:p>
        </rich>
      </tx>
    </title>
    <plotArea>
      <pieChart>
        <varyColors val="1"/>
        <ser>
          <idx val="0"/>
          <order val="0"/>
          <tx>
            <strRef>
              <f>'Simulador'!F12</f>
            </strRef>
          </tx>
          <spPr>
            <a:ln xmlns:a="http://schemas.openxmlformats.org/drawingml/2006/main">
              <a:prstDash val="solid"/>
            </a:ln>
          </spPr>
          <cat>
            <numRef>
              <f>'Simulador'!$D$13:$D$18</f>
            </numRef>
          </cat>
          <val>
            <numRef>
              <f>'Simulador'!$F$13:$F$18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19" customWidth="1" min="2" max="2"/>
    <col width="25" customWidth="1" min="3" max="3"/>
    <col width="33" customWidth="1" min="4" max="4"/>
    <col width="18" customWidth="1" min="5" max="5"/>
    <col width="22" customWidth="1" min="6" max="6"/>
  </cols>
  <sheetData>
    <row r="1" ht="32" customHeight="1">
      <c r="A1" s="1" t="inlineStr">
        <is>
          <t>FIIS EM FOCO | SIMULADOR DE INVESTIMENTOS</t>
        </is>
      </c>
    </row>
    <row r="2">
      <c r="A2" s="2" t="inlineStr">
        <is>
          <t>Simulação educacional: estimativas hipotéticas, não promessa de rentabilidade.</t>
        </is>
      </c>
    </row>
    <row r="4">
      <c r="A4" s="3" t="inlineStr">
        <is>
          <t>ENTRADAS DA SIMULAÇÃO</t>
        </is>
      </c>
      <c r="D4" s="3" t="inlineStr">
        <is>
          <t>RESULTADOS PRINCIPAIS</t>
        </is>
      </c>
    </row>
    <row r="5">
      <c r="A5" s="4" t="inlineStr">
        <is>
          <t>Aporte mensal (R$)</t>
        </is>
      </c>
      <c r="B5" s="5">
        <f>aporte</f>
        <v/>
      </c>
      <c r="C5" s="6" t="n"/>
      <c r="D5" s="4" t="inlineStr">
        <is>
          <t>Patrimônio estimado</t>
        </is>
      </c>
      <c r="E5" s="7">
        <f>-FV(B7,B6*12,B5,0,0)</f>
        <v/>
      </c>
      <c r="F5" s="6" t="n"/>
    </row>
    <row r="6">
      <c r="A6" s="4" t="inlineStr">
        <is>
          <t>Prazo (anos)</t>
        </is>
      </c>
      <c r="B6" s="8">
        <f>prazo_anos</f>
        <v/>
      </c>
      <c r="C6" s="6" t="n"/>
      <c r="D6" s="4" t="inlineStr">
        <is>
          <t>Dividendos mensais estimados</t>
        </is>
      </c>
      <c r="E6" s="7">
        <f>E5*B7</f>
        <v/>
      </c>
      <c r="F6" s="6" t="n"/>
    </row>
    <row r="7">
      <c r="A7" s="4" t="inlineStr">
        <is>
          <t>Rendimento mensal</t>
        </is>
      </c>
      <c r="B7" s="9">
        <f>taxa_mensal</f>
        <v/>
      </c>
      <c r="C7" s="6" t="n"/>
      <c r="D7" s="4" t="inlineStr">
        <is>
          <t>Aporte sugerido (30% do salário)</t>
        </is>
      </c>
      <c r="E7" s="7">
        <f>aporte_sugerido</f>
        <v/>
      </c>
      <c r="F7" s="6" t="n"/>
    </row>
    <row r="8">
      <c r="A8" s="4" t="inlineStr">
        <is>
          <t>Perfil do investidor</t>
        </is>
      </c>
      <c r="B8" s="10" t="inlineStr">
        <is>
          <t>Moderado</t>
        </is>
      </c>
      <c r="C8" s="6" t="n"/>
      <c r="D8" s="4" t="inlineStr">
        <is>
          <t>Patrimônio com aporte sugerido</t>
        </is>
      </c>
      <c r="E8" s="7">
        <f>-FV(taxa_mensal,prazo_anos*12,aporte_sugerido,0,0)</f>
        <v/>
      </c>
      <c r="F8" s="6" t="n"/>
    </row>
    <row r="9">
      <c r="A9" s="6" t="n"/>
      <c r="B9" s="6" t="n"/>
      <c r="C9" s="6" t="n"/>
      <c r="D9" s="6" t="n"/>
      <c r="E9" s="6" t="n"/>
      <c r="F9" s="6" t="n"/>
    </row>
    <row r="10">
      <c r="A10" s="6" t="n"/>
      <c r="B10" s="6" t="n"/>
      <c r="C10" s="6" t="n"/>
      <c r="D10" s="6" t="n"/>
      <c r="E10" s="6" t="n"/>
      <c r="F10" s="6" t="n"/>
    </row>
    <row r="11">
      <c r="A11" s="11" t="inlineStr">
        <is>
          <t>PROJEÇÃO DE PATRIMÔNIO POR PRAZO</t>
        </is>
      </c>
      <c r="B11" s="6" t="n"/>
      <c r="C11" s="6" t="n"/>
      <c r="D11" s="11" t="inlineStr">
        <is>
          <t>DIVISÃO DO APORTE POR TIPO DE FII</t>
        </is>
      </c>
      <c r="E11" s="6" t="n"/>
      <c r="F11" s="6" t="n"/>
    </row>
    <row r="12">
      <c r="A12" s="12" t="inlineStr">
        <is>
          <t>Prazo (anos)</t>
        </is>
      </c>
      <c r="B12" s="12" t="inlineStr">
        <is>
          <t>Meses</t>
        </is>
      </c>
      <c r="C12" s="12" t="inlineStr">
        <is>
          <t>Patrimônio estimado (R$)</t>
        </is>
      </c>
      <c r="D12" s="12" t="inlineStr">
        <is>
          <t>Tipo de fundo</t>
        </is>
      </c>
      <c r="E12" s="12" t="inlineStr">
        <is>
          <t>Percentual</t>
        </is>
      </c>
      <c r="F12" s="12" t="inlineStr">
        <is>
          <t>Aporte alocado (R$)</t>
        </is>
      </c>
    </row>
    <row r="13">
      <c r="A13" s="6" t="n">
        <v>2</v>
      </c>
      <c r="B13" s="6">
        <f>A13*12</f>
        <v/>
      </c>
      <c r="C13" s="13">
        <f>-FV($B$7,B13,$B$5,0,0)</f>
        <v/>
      </c>
      <c r="D13" s="6" t="inlineStr">
        <is>
          <t>Tijolo</t>
        </is>
      </c>
      <c r="E13" s="14">
        <f>VLOOKUP($B$8&amp;"|"&amp;D13,Distribuicao!$A$3:$C$20,3,FALSE)</f>
        <v/>
      </c>
      <c r="F13" s="13">
        <f>E13*$B$5</f>
        <v/>
      </c>
    </row>
    <row r="14">
      <c r="A14" s="6" t="n">
        <v>5</v>
      </c>
      <c r="B14" s="6">
        <f>A14*12</f>
        <v/>
      </c>
      <c r="C14" s="13">
        <f>-FV($B$7,B14,$B$5,0,0)</f>
        <v/>
      </c>
      <c r="D14" s="6" t="inlineStr">
        <is>
          <t>Papel</t>
        </is>
      </c>
      <c r="E14" s="14">
        <f>VLOOKUP($B$8&amp;"|"&amp;D14,Distribuicao!$A$3:$C$20,3,FALSE)</f>
        <v/>
      </c>
      <c r="F14" s="13">
        <f>E14*$B$5</f>
        <v/>
      </c>
    </row>
    <row r="15">
      <c r="A15" s="6" t="n">
        <v>10</v>
      </c>
      <c r="B15" s="6">
        <f>A15*12</f>
        <v/>
      </c>
      <c r="C15" s="13">
        <f>-FV($B$7,B15,$B$5,0,0)</f>
        <v/>
      </c>
      <c r="D15" s="6" t="inlineStr">
        <is>
          <t>Híbridos</t>
        </is>
      </c>
      <c r="E15" s="14">
        <f>VLOOKUP($B$8&amp;"|"&amp;D15,Distribuicao!$A$3:$C$20,3,FALSE)</f>
        <v/>
      </c>
      <c r="F15" s="13">
        <f>E15*$B$5</f>
        <v/>
      </c>
    </row>
    <row r="16">
      <c r="A16" s="6" t="n">
        <v>20</v>
      </c>
      <c r="B16" s="6">
        <f>A16*12</f>
        <v/>
      </c>
      <c r="C16" s="13">
        <f>-FV($B$7,B16,$B$5,0,0)</f>
        <v/>
      </c>
      <c r="D16" s="6" t="inlineStr">
        <is>
          <t>Fundos de fundos (FOFs)</t>
        </is>
      </c>
      <c r="E16" s="14">
        <f>VLOOKUP($B$8&amp;"|"&amp;D16,Distribuicao!$A$3:$C$20,3,FALSE)</f>
        <v/>
      </c>
      <c r="F16" s="13">
        <f>E16*$B$5</f>
        <v/>
      </c>
    </row>
    <row r="17">
      <c r="A17" s="6" t="n">
        <v>30</v>
      </c>
      <c r="B17" s="6">
        <f>A17*12</f>
        <v/>
      </c>
      <c r="C17" s="13">
        <f>-FV($B$7,B17,$B$5,0,0)</f>
        <v/>
      </c>
      <c r="D17" s="6" t="inlineStr">
        <is>
          <t>Desenvolvimento</t>
        </is>
      </c>
      <c r="E17" s="14">
        <f>VLOOKUP($B$8&amp;"|"&amp;D17,Distribuicao!$A$3:$C$20,3,FALSE)</f>
        <v/>
      </c>
      <c r="F17" s="13">
        <f>E17*$B$5</f>
        <v/>
      </c>
    </row>
    <row r="18">
      <c r="A18" s="6" t="n"/>
      <c r="B18" s="6" t="n"/>
      <c r="C18" s="6" t="n"/>
      <c r="D18" s="6" t="inlineStr">
        <is>
          <t>Logística</t>
        </is>
      </c>
      <c r="E18" s="14">
        <f>VLOOKUP($B$8&amp;"|"&amp;D18,Distribuicao!$A$3:$C$20,3,FALSE)</f>
        <v/>
      </c>
      <c r="F18" s="13">
        <f>E18*$B$5</f>
        <v/>
      </c>
    </row>
    <row r="19">
      <c r="A19" s="15" t="inlineStr">
        <is>
          <t>Nota: a VF considera aportes no fim de cada mês (tipo 0).</t>
        </is>
      </c>
    </row>
    <row r="20">
      <c r="D20" s="16" t="inlineStr">
        <is>
          <t>Como interpretar</t>
        </is>
      </c>
    </row>
    <row r="21">
      <c r="D21" s="17" t="inlineStr">
        <is>
          <t>1. Altere os valores na aba Configuracoes.</t>
        </is>
      </c>
    </row>
    <row r="22">
      <c r="D22" s="17" t="inlineStr">
        <is>
          <t>2. Escolha um perfil na célula B8.</t>
        </is>
      </c>
    </row>
    <row r="23">
      <c r="D23" s="17" t="inlineStr">
        <is>
          <t>3. Confira a divisão do aporte e o gráfico.</t>
        </is>
      </c>
    </row>
    <row r="24">
      <c r="D24" s="17" t="inlineStr">
        <is>
          <t>4. Todos os valores são exemplos didáticos, não recomendação financeira.</t>
        </is>
      </c>
    </row>
  </sheetData>
  <mergeCells count="11">
    <mergeCell ref="A4:B4"/>
    <mergeCell ref="A2:F2"/>
    <mergeCell ref="D11:F11"/>
    <mergeCell ref="A11:C11"/>
    <mergeCell ref="A19:C19"/>
    <mergeCell ref="D23:F23"/>
    <mergeCell ref="A1:F1"/>
    <mergeCell ref="D22:F22"/>
    <mergeCell ref="D4:E4"/>
    <mergeCell ref="D21:F21"/>
    <mergeCell ref="D24:F24"/>
  </mergeCells>
  <dataValidations count="1">
    <dataValidation sqref="B8" showDropDown="0" showInputMessage="0" showErrorMessage="0" allowBlank="0" errorTitle="Perfil inválido" error="Escolha um perfil da lista." promptTitle="Perfil" prompt="Selecione um perfil." type="list">
      <formula1>"Conservador,Moderado,Arrojado"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54" customWidth="1" min="3" max="3"/>
    <col width="28" customWidth="1" min="4" max="4"/>
  </cols>
  <sheetData>
    <row r="1">
      <c r="A1" s="18" t="inlineStr">
        <is>
          <t>CONFIGURAÇÕES DA SIMULAÇÃO</t>
        </is>
      </c>
    </row>
    <row r="2">
      <c r="A2" s="3" t="inlineStr">
        <is>
          <t>Parâmetro</t>
        </is>
      </c>
      <c r="B2" s="3" t="inlineStr">
        <is>
          <t>Valor de exemplo</t>
        </is>
      </c>
      <c r="C2" s="3" t="inlineStr">
        <is>
          <t>Descrição</t>
        </is>
      </c>
      <c r="D2" s="3" t="inlineStr">
        <is>
          <t>Observação</t>
        </is>
      </c>
    </row>
    <row r="3">
      <c r="A3" s="19" t="inlineStr">
        <is>
          <t>Salário mensal</t>
        </is>
      </c>
      <c r="B3" s="20" t="n">
        <v>5000</v>
      </c>
      <c r="C3" s="19" t="inlineStr">
        <is>
          <t>Renda mensal usada para calcular a sugestão de aporte.</t>
        </is>
      </c>
      <c r="D3" s="19" t="inlineStr">
        <is>
          <t>Valor fictício</t>
        </is>
      </c>
    </row>
    <row r="4">
      <c r="A4" s="19" t="inlineStr">
        <is>
          <t>Taxa de rendimento mensal</t>
        </is>
      </c>
      <c r="B4" s="21" t="n">
        <v>0.008</v>
      </c>
      <c r="C4" s="19" t="inlineStr">
        <is>
          <t>Taxa hipotética usada na simulação.</t>
        </is>
      </c>
      <c r="D4" s="19" t="inlineStr">
        <is>
          <t>0,8% ao mês; não é garantia</t>
        </is>
      </c>
    </row>
    <row r="5">
      <c r="A5" s="19" t="inlineStr">
        <is>
          <t>Percentual sugerido do salário</t>
        </is>
      </c>
      <c r="B5" s="21" t="n">
        <v>0.3</v>
      </c>
      <c r="C5" s="19" t="inlineStr">
        <is>
          <t>Percentual usado na simulação alternativa.</t>
        </is>
      </c>
      <c r="D5" s="19" t="inlineStr">
        <is>
          <t>Sugestão didática</t>
        </is>
      </c>
    </row>
    <row r="6">
      <c r="A6" s="19" t="inlineStr">
        <is>
          <t>Prazo em anos</t>
        </is>
      </c>
      <c r="B6" s="22" t="n">
        <v>10</v>
      </c>
      <c r="C6" s="19" t="inlineStr">
        <is>
          <t>Prazo principal da simulação.</t>
        </is>
      </c>
      <c r="D6" s="19" t="inlineStr">
        <is>
          <t>Entre 2 e 30 anos</t>
        </is>
      </c>
    </row>
    <row r="7">
      <c r="A7" s="19" t="inlineStr">
        <is>
          <t>Aporte mensal informado</t>
        </is>
      </c>
      <c r="B7" s="20" t="n">
        <v>500</v>
      </c>
      <c r="C7" s="19" t="inlineStr">
        <is>
          <t>Valor escolhido para investir por mês.</t>
        </is>
      </c>
      <c r="D7" s="19" t="inlineStr">
        <is>
          <t>Valor fictício</t>
        </is>
      </c>
    </row>
    <row r="9">
      <c r="A9" t="inlineStr">
        <is>
          <t>Nota:</t>
        </is>
      </c>
      <c r="B9" s="23" t="inlineStr">
        <is>
          <t>Valores fictícios para demonstração. Rentabilidade e dividendos não são garantidos.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16" customWidth="1" min="3" max="3"/>
    <col width="22" customWidth="1" min="5" max="5"/>
    <col width="27" customWidth="1" min="7" max="7"/>
    <col width="14" customWidth="1" min="8" max="8"/>
    <col width="45" customWidth="1" min="10" max="10"/>
  </cols>
  <sheetData>
    <row r="1">
      <c r="A1" s="18" t="inlineStr">
        <is>
          <t>TABELA DE APOIO — PERFIL × TIPO DE FII</t>
        </is>
      </c>
    </row>
    <row r="2">
      <c r="A2" s="3" t="inlineStr">
        <is>
          <t>Chave composta</t>
        </is>
      </c>
      <c r="B2" s="3" t="inlineStr">
        <is>
          <t>Tipo de fundo</t>
        </is>
      </c>
      <c r="C2" s="3" t="inlineStr">
        <is>
          <t>Percentual</t>
        </is>
      </c>
      <c r="E2" s="3" t="inlineStr">
        <is>
          <t>Perfis</t>
        </is>
      </c>
      <c r="G2" s="3" t="inlineStr">
        <is>
          <t>Conferência dos percentuais</t>
        </is>
      </c>
      <c r="J2" s="3" t="inlineStr">
        <is>
          <t>Sobre os percentuais</t>
        </is>
      </c>
    </row>
    <row r="3">
      <c r="A3" s="24" t="inlineStr">
        <is>
          <t>Conservador|Tijolo</t>
        </is>
      </c>
      <c r="B3" s="24" t="inlineStr">
        <is>
          <t>Tijolo</t>
        </is>
      </c>
      <c r="C3" s="25" t="n">
        <v>0.15</v>
      </c>
      <c r="E3" t="inlineStr">
        <is>
          <t>Conservador</t>
        </is>
      </c>
      <c r="G3" s="26" t="inlineStr">
        <is>
          <t>Perfil</t>
        </is>
      </c>
      <c r="H3" s="26" t="inlineStr">
        <is>
          <t>Total</t>
        </is>
      </c>
      <c r="J3" s="17" t="inlineStr">
        <is>
          <t>Distribuições ilustrativas criadas para o projeto acadêmico. Não são recomendação de investimento.</t>
        </is>
      </c>
    </row>
    <row r="4">
      <c r="A4" s="24" t="inlineStr">
        <is>
          <t>Conservador|Papel</t>
        </is>
      </c>
      <c r="B4" s="24" t="inlineStr">
        <is>
          <t>Papel</t>
        </is>
      </c>
      <c r="C4" s="25" t="n">
        <v>0.35</v>
      </c>
      <c r="E4" t="inlineStr">
        <is>
          <t>Moderado</t>
        </is>
      </c>
      <c r="G4" t="inlineStr">
        <is>
          <t>Conservador</t>
        </is>
      </c>
      <c r="H4" s="27">
        <f>SUMIF($A$3:$A$20,G4&amp;"|*",$C$3:$C$20)</f>
        <v/>
      </c>
    </row>
    <row r="5">
      <c r="A5" s="24" t="inlineStr">
        <is>
          <t>Conservador|Híbridos</t>
        </is>
      </c>
      <c r="B5" s="24" t="inlineStr">
        <is>
          <t>Híbridos</t>
        </is>
      </c>
      <c r="C5" s="25" t="n">
        <v>0.2</v>
      </c>
      <c r="E5" t="inlineStr">
        <is>
          <t>Arrojado</t>
        </is>
      </c>
      <c r="G5" t="inlineStr">
        <is>
          <t>Moderado</t>
        </is>
      </c>
      <c r="H5" s="27">
        <f>SUMIF($A$3:$A$20,G5&amp;"|*",$C$3:$C$20)</f>
        <v/>
      </c>
    </row>
    <row r="6">
      <c r="A6" s="24" t="inlineStr">
        <is>
          <t>Conservador|Fundos de fundos (FOFs)</t>
        </is>
      </c>
      <c r="B6" s="24" t="inlineStr">
        <is>
          <t>Fundos de fundos (FOFs)</t>
        </is>
      </c>
      <c r="C6" s="25" t="n">
        <v>0.15</v>
      </c>
      <c r="G6" t="inlineStr">
        <is>
          <t>Arrojado</t>
        </is>
      </c>
      <c r="H6" s="27">
        <f>SUMIF($A$3:$A$20,G6&amp;"|*",$C$3:$C$20)</f>
        <v/>
      </c>
    </row>
    <row r="7">
      <c r="A7" s="24" t="inlineStr">
        <is>
          <t>Conservador|Desenvolvimento</t>
        </is>
      </c>
      <c r="B7" s="24" t="inlineStr">
        <is>
          <t>Desenvolvimento</t>
        </is>
      </c>
      <c r="C7" s="25" t="n">
        <v>0.05</v>
      </c>
    </row>
    <row r="8">
      <c r="A8" s="24" t="inlineStr">
        <is>
          <t>Conservador|Logística</t>
        </is>
      </c>
      <c r="B8" s="24" t="inlineStr">
        <is>
          <t>Logística</t>
        </is>
      </c>
      <c r="C8" s="25" t="n">
        <v>0.1</v>
      </c>
    </row>
    <row r="9">
      <c r="A9" s="24" t="inlineStr">
        <is>
          <t>Moderado|Tijolo</t>
        </is>
      </c>
      <c r="B9" s="24" t="inlineStr">
        <is>
          <t>Tijolo</t>
        </is>
      </c>
      <c r="C9" s="25" t="n">
        <v>0.25</v>
      </c>
    </row>
    <row r="10">
      <c r="A10" s="24" t="inlineStr">
        <is>
          <t>Moderado|Papel</t>
        </is>
      </c>
      <c r="B10" s="24" t="inlineStr">
        <is>
          <t>Papel</t>
        </is>
      </c>
      <c r="C10" s="25" t="n">
        <v>0.25</v>
      </c>
    </row>
    <row r="11">
      <c r="A11" s="24" t="inlineStr">
        <is>
          <t>Moderado|Híbridos</t>
        </is>
      </c>
      <c r="B11" s="24" t="inlineStr">
        <is>
          <t>Híbridos</t>
        </is>
      </c>
      <c r="C11" s="25" t="n">
        <v>0.15</v>
      </c>
    </row>
    <row r="12">
      <c r="A12" s="24" t="inlineStr">
        <is>
          <t>Moderado|Fundos de fundos (FOFs)</t>
        </is>
      </c>
      <c r="B12" s="24" t="inlineStr">
        <is>
          <t>Fundos de fundos (FOFs)</t>
        </is>
      </c>
      <c r="C12" s="25" t="n">
        <v>0.15</v>
      </c>
    </row>
    <row r="13">
      <c r="A13" s="24" t="inlineStr">
        <is>
          <t>Moderado|Desenvolvimento</t>
        </is>
      </c>
      <c r="B13" s="24" t="inlineStr">
        <is>
          <t>Desenvolvimento</t>
        </is>
      </c>
      <c r="C13" s="25" t="n">
        <v>0.1</v>
      </c>
    </row>
    <row r="14">
      <c r="A14" s="24" t="inlineStr">
        <is>
          <t>Moderado|Logística</t>
        </is>
      </c>
      <c r="B14" s="24" t="inlineStr">
        <is>
          <t>Logística</t>
        </is>
      </c>
      <c r="C14" s="25" t="n">
        <v>0.1</v>
      </c>
    </row>
    <row r="15">
      <c r="A15" s="24" t="inlineStr">
        <is>
          <t>Arrojado|Tijolo</t>
        </is>
      </c>
      <c r="B15" s="24" t="inlineStr">
        <is>
          <t>Tijolo</t>
        </is>
      </c>
      <c r="C15" s="25" t="n">
        <v>0.35</v>
      </c>
    </row>
    <row r="16">
      <c r="A16" s="24" t="inlineStr">
        <is>
          <t>Arrojado|Papel</t>
        </is>
      </c>
      <c r="B16" s="24" t="inlineStr">
        <is>
          <t>Papel</t>
        </is>
      </c>
      <c r="C16" s="25" t="n">
        <v>0.15</v>
      </c>
    </row>
    <row r="17">
      <c r="A17" s="24" t="inlineStr">
        <is>
          <t>Arrojado|Híbridos</t>
        </is>
      </c>
      <c r="B17" s="24" t="inlineStr">
        <is>
          <t>Híbridos</t>
        </is>
      </c>
      <c r="C17" s="25" t="n">
        <v>0.15</v>
      </c>
    </row>
    <row r="18">
      <c r="A18" s="24" t="inlineStr">
        <is>
          <t>Arrojado|Fundos de fundos (FOFs)</t>
        </is>
      </c>
      <c r="B18" s="24" t="inlineStr">
        <is>
          <t>Fundos de fundos (FOFs)</t>
        </is>
      </c>
      <c r="C18" s="25" t="n">
        <v>0.1</v>
      </c>
    </row>
    <row r="19">
      <c r="A19" s="24" t="inlineStr">
        <is>
          <t>Arrojado|Desenvolvimento</t>
        </is>
      </c>
      <c r="B19" s="24" t="inlineStr">
        <is>
          <t>Desenvolvimento</t>
        </is>
      </c>
      <c r="C19" s="25" t="n">
        <v>0.15</v>
      </c>
    </row>
    <row r="20">
      <c r="A20" s="24" t="inlineStr">
        <is>
          <t>Arrojado|Logística</t>
        </is>
      </c>
      <c r="B20" s="24" t="inlineStr">
        <is>
          <t>Logística</t>
        </is>
      </c>
      <c r="C20" s="25" t="n">
        <v>0.1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2026-10-18T21:30:52Z</dcterms:created>
  <dcterms:modified xmlns:dcterms="http://purl.org/dc/terms/" xmlns:xsi="http://www.w3.org/2001/XMLSchema-instance" xsi:type="dcterms:W3CDTF">2026-10-18T21:30:52Z</dcterms:modified>
</cp:coreProperties>
</file>